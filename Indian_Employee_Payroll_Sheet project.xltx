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sanju\Documents\excel project\"/>
    </mc:Choice>
  </mc:AlternateContent>
  <xr:revisionPtr revIDLastSave="0" documentId="8_{24B562CF-3A1C-4AD0-BDCE-EACB0332B289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ayroll Sheet" sheetId="1" r:id="rId1"/>
    <sheet name="attendance sheet" sheetId="4" r:id="rId2"/>
    <sheet name="Sheet2" sheetId="3" r:id="rId3"/>
  </sheets>
  <definedNames>
    <definedName name="month">Sheet2!$A:$A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" i="1"/>
  <c r="AK12" i="4"/>
  <c r="E9" i="1" s="1"/>
  <c r="F9" i="1" s="1"/>
  <c r="I9" i="1" s="1"/>
  <c r="K9" i="1" s="1"/>
  <c r="AK18" i="4"/>
  <c r="E15" i="1" s="1"/>
  <c r="F15" i="1" s="1"/>
  <c r="I15" i="1" s="1"/>
  <c r="K15" i="1" s="1"/>
  <c r="AK22" i="4"/>
  <c r="E19" i="1" s="1"/>
  <c r="F19" i="1" s="1"/>
  <c r="I19" i="1" s="1"/>
  <c r="K19" i="1" s="1"/>
  <c r="AK26" i="4"/>
  <c r="E23" i="1" s="1"/>
  <c r="F23" i="1" s="1"/>
  <c r="I23" i="1" s="1"/>
  <c r="K23" i="1" s="1"/>
  <c r="AK5" i="4"/>
  <c r="E2" i="1" s="1"/>
  <c r="F2" i="1" s="1"/>
  <c r="I2" i="1" s="1"/>
  <c r="K2" i="1" s="1"/>
  <c r="AJ6" i="4"/>
  <c r="AK6" i="4" s="1"/>
  <c r="E3" i="1" s="1"/>
  <c r="F3" i="1" s="1"/>
  <c r="I3" i="1" s="1"/>
  <c r="K3" i="1" s="1"/>
  <c r="AJ7" i="4"/>
  <c r="AK7" i="4" s="1"/>
  <c r="E4" i="1" s="1"/>
  <c r="F4" i="1" s="1"/>
  <c r="I4" i="1" s="1"/>
  <c r="K4" i="1" s="1"/>
  <c r="AJ8" i="4"/>
  <c r="AK8" i="4" s="1"/>
  <c r="E5" i="1" s="1"/>
  <c r="F5" i="1" s="1"/>
  <c r="I5" i="1" s="1"/>
  <c r="K5" i="1" s="1"/>
  <c r="AJ9" i="4"/>
  <c r="AK9" i="4" s="1"/>
  <c r="E6" i="1" s="1"/>
  <c r="F6" i="1" s="1"/>
  <c r="I6" i="1" s="1"/>
  <c r="K6" i="1" s="1"/>
  <c r="AJ10" i="4"/>
  <c r="AK10" i="4" s="1"/>
  <c r="E7" i="1" s="1"/>
  <c r="F7" i="1" s="1"/>
  <c r="I7" i="1" s="1"/>
  <c r="K7" i="1" s="1"/>
  <c r="AJ11" i="4"/>
  <c r="AK11" i="4" s="1"/>
  <c r="E8" i="1" s="1"/>
  <c r="F8" i="1" s="1"/>
  <c r="I8" i="1" s="1"/>
  <c r="K8" i="1" s="1"/>
  <c r="AJ12" i="4"/>
  <c r="AJ13" i="4"/>
  <c r="AK13" i="4" s="1"/>
  <c r="E10" i="1" s="1"/>
  <c r="F10" i="1" s="1"/>
  <c r="I10" i="1" s="1"/>
  <c r="K10" i="1" s="1"/>
  <c r="AJ14" i="4"/>
  <c r="AK14" i="4" s="1"/>
  <c r="E11" i="1" s="1"/>
  <c r="F11" i="1" s="1"/>
  <c r="I11" i="1" s="1"/>
  <c r="K11" i="1" s="1"/>
  <c r="AJ15" i="4"/>
  <c r="AK15" i="4" s="1"/>
  <c r="E12" i="1" s="1"/>
  <c r="F12" i="1" s="1"/>
  <c r="I12" i="1" s="1"/>
  <c r="K12" i="1" s="1"/>
  <c r="AJ16" i="4"/>
  <c r="AK16" i="4" s="1"/>
  <c r="E13" i="1" s="1"/>
  <c r="F13" i="1" s="1"/>
  <c r="I13" i="1" s="1"/>
  <c r="K13" i="1" s="1"/>
  <c r="AJ17" i="4"/>
  <c r="AK17" i="4" s="1"/>
  <c r="E14" i="1" s="1"/>
  <c r="F14" i="1" s="1"/>
  <c r="I14" i="1" s="1"/>
  <c r="K14" i="1" s="1"/>
  <c r="AJ18" i="4"/>
  <c r="AJ19" i="4"/>
  <c r="AK19" i="4" s="1"/>
  <c r="E16" i="1" s="1"/>
  <c r="F16" i="1" s="1"/>
  <c r="I16" i="1" s="1"/>
  <c r="K16" i="1" s="1"/>
  <c r="AJ20" i="4"/>
  <c r="AK20" i="4" s="1"/>
  <c r="E17" i="1" s="1"/>
  <c r="F17" i="1" s="1"/>
  <c r="I17" i="1" s="1"/>
  <c r="K17" i="1" s="1"/>
  <c r="AJ21" i="4"/>
  <c r="AK21" i="4" s="1"/>
  <c r="E18" i="1" s="1"/>
  <c r="F18" i="1" s="1"/>
  <c r="I18" i="1" s="1"/>
  <c r="K18" i="1" s="1"/>
  <c r="AJ22" i="4"/>
  <c r="AJ23" i="4"/>
  <c r="AK23" i="4" s="1"/>
  <c r="E20" i="1" s="1"/>
  <c r="F20" i="1" s="1"/>
  <c r="I20" i="1" s="1"/>
  <c r="K20" i="1" s="1"/>
  <c r="AJ24" i="4"/>
  <c r="AK24" i="4" s="1"/>
  <c r="E21" i="1" s="1"/>
  <c r="F21" i="1" s="1"/>
  <c r="I21" i="1" s="1"/>
  <c r="K21" i="1" s="1"/>
  <c r="AJ25" i="4"/>
  <c r="AK25" i="4" s="1"/>
  <c r="E22" i="1" s="1"/>
  <c r="F22" i="1" s="1"/>
  <c r="I22" i="1" s="1"/>
  <c r="K22" i="1" s="1"/>
  <c r="AJ26" i="4"/>
  <c r="AJ27" i="4"/>
  <c r="AK27" i="4" s="1"/>
  <c r="E24" i="1" s="1"/>
  <c r="F24" i="1" s="1"/>
  <c r="I24" i="1" s="1"/>
  <c r="K24" i="1" s="1"/>
  <c r="AJ28" i="4"/>
  <c r="AK28" i="4" s="1"/>
  <c r="E25" i="1" s="1"/>
  <c r="F25" i="1" s="1"/>
  <c r="I25" i="1" s="1"/>
  <c r="K25" i="1" s="1"/>
  <c r="AJ29" i="4"/>
  <c r="AK29" i="4" s="1"/>
  <c r="E26" i="1" s="1"/>
  <c r="F26" i="1" s="1"/>
  <c r="I26" i="1" s="1"/>
  <c r="K26" i="1" s="1"/>
  <c r="AJ5" i="4"/>
  <c r="G2" i="4"/>
  <c r="M2" i="4" s="1"/>
  <c r="E3" i="4" l="1"/>
  <c r="F3" i="4" l="1"/>
  <c r="E4" i="4"/>
  <c r="G3" i="4" l="1"/>
  <c r="F4" i="4"/>
  <c r="H3" i="4" l="1"/>
  <c r="G4" i="4"/>
  <c r="I3" i="4" l="1"/>
  <c r="H4" i="4"/>
  <c r="J3" i="4" l="1"/>
  <c r="I4" i="4"/>
  <c r="K3" i="4" l="1"/>
  <c r="J4" i="4"/>
  <c r="L3" i="4" l="1"/>
  <c r="K4" i="4"/>
  <c r="M3" i="4" l="1"/>
  <c r="L4" i="4"/>
  <c r="N3" i="4" l="1"/>
  <c r="M4" i="4"/>
  <c r="O3" i="4" l="1"/>
  <c r="N4" i="4"/>
  <c r="P3" i="4" l="1"/>
  <c r="O4" i="4"/>
  <c r="Q3" i="4" l="1"/>
  <c r="P4" i="4"/>
  <c r="R3" i="4" l="1"/>
  <c r="Q4" i="4"/>
  <c r="S3" i="4" l="1"/>
  <c r="R4" i="4"/>
  <c r="T3" i="4" l="1"/>
  <c r="S4" i="4"/>
  <c r="U3" i="4" l="1"/>
  <c r="T4" i="4"/>
  <c r="V3" i="4" l="1"/>
  <c r="U4" i="4"/>
  <c r="W3" i="4" l="1"/>
  <c r="V4" i="4"/>
  <c r="X3" i="4" l="1"/>
  <c r="W4" i="4"/>
  <c r="Y3" i="4" l="1"/>
  <c r="X4" i="4"/>
  <c r="Z3" i="4" l="1"/>
  <c r="Y4" i="4"/>
  <c r="AA3" i="4" l="1"/>
  <c r="Z4" i="4"/>
  <c r="AB3" i="4" l="1"/>
  <c r="AA4" i="4"/>
  <c r="AC3" i="4" l="1"/>
  <c r="AB4" i="4"/>
  <c r="AD3" i="4" l="1"/>
  <c r="AC4" i="4"/>
  <c r="AE3" i="4" l="1"/>
  <c r="AD4" i="4"/>
  <c r="AF3" i="4" l="1"/>
  <c r="AE4" i="4"/>
  <c r="AG3" i="4" l="1"/>
  <c r="AF4" i="4"/>
  <c r="AH3" i="4" l="1"/>
  <c r="AG4" i="4"/>
  <c r="AI3" i="4" l="1"/>
  <c r="AI4" i="4" s="1"/>
  <c r="AH4" i="4"/>
</calcChain>
</file>

<file path=xl/sharedStrings.xml><?xml version="1.0" encoding="utf-8"?>
<sst xmlns="http://schemas.openxmlformats.org/spreadsheetml/2006/main" count="200" uniqueCount="89">
  <si>
    <t>Employee ID</t>
  </si>
  <si>
    <t>Employee Name</t>
  </si>
  <si>
    <t>Designation</t>
  </si>
  <si>
    <t>Basic Salary</t>
  </si>
  <si>
    <t>Net Salary</t>
  </si>
  <si>
    <t>EMP1001</t>
  </si>
  <si>
    <t>Aarav Sharma</t>
  </si>
  <si>
    <t>Sales Executive</t>
  </si>
  <si>
    <t>EMP1002</t>
  </si>
  <si>
    <t>Vivaan Singh</t>
  </si>
  <si>
    <t>MIS Executive</t>
  </si>
  <si>
    <t>EMP1003</t>
  </si>
  <si>
    <t>Aditya Verma</t>
  </si>
  <si>
    <t>Team Leader</t>
  </si>
  <si>
    <t>EMP1004</t>
  </si>
  <si>
    <t>Arjun Mehta</t>
  </si>
  <si>
    <t>EMP1005</t>
  </si>
  <si>
    <t>Rohan Gupta</t>
  </si>
  <si>
    <t>HR Executive</t>
  </si>
  <si>
    <t>EMP1006</t>
  </si>
  <si>
    <t>Kabir Yadav</t>
  </si>
  <si>
    <t>Accountant</t>
  </si>
  <si>
    <t>EMP1007</t>
  </si>
  <si>
    <t>Rahul Kumar</t>
  </si>
  <si>
    <t>EMP1008</t>
  </si>
  <si>
    <t>Mohit Jain</t>
  </si>
  <si>
    <t>EMP1009</t>
  </si>
  <si>
    <t>Siddharth Roy</t>
  </si>
  <si>
    <t>EMP1010</t>
  </si>
  <si>
    <t>Ankit Mishra</t>
  </si>
  <si>
    <t>EMP1011</t>
  </si>
  <si>
    <t>Priya Patel</t>
  </si>
  <si>
    <t>EMP1012</t>
  </si>
  <si>
    <t>Sneha Kapoor</t>
  </si>
  <si>
    <t>EMP1013</t>
  </si>
  <si>
    <t>Ananya Reddy</t>
  </si>
  <si>
    <t>EMP1014</t>
  </si>
  <si>
    <t>Pooja Nair</t>
  </si>
  <si>
    <t>Data Analyst</t>
  </si>
  <si>
    <t>EMP1015</t>
  </si>
  <si>
    <t>Neha Joshi</t>
  </si>
  <si>
    <t>EMP1016</t>
  </si>
  <si>
    <t>Ishita Das</t>
  </si>
  <si>
    <t>EMP1017</t>
  </si>
  <si>
    <t>Ritika Sinha</t>
  </si>
  <si>
    <t>EMP1018</t>
  </si>
  <si>
    <t>Kavya Iyer</t>
  </si>
  <si>
    <t>EMP1019</t>
  </si>
  <si>
    <t>Simran Kaur</t>
  </si>
  <si>
    <t>Operations Executive</t>
  </si>
  <si>
    <t>EMP1020</t>
  </si>
  <si>
    <t>Meera Chawla</t>
  </si>
  <si>
    <t>EMP1021</t>
  </si>
  <si>
    <t>Manish Thakur</t>
  </si>
  <si>
    <t>EMP1022</t>
  </si>
  <si>
    <t>Deepak Rawat</t>
  </si>
  <si>
    <t>EMP1023</t>
  </si>
  <si>
    <t>Nitin Saxena</t>
  </si>
  <si>
    <t>EMP1024</t>
  </si>
  <si>
    <t>Harsh Malhotra</t>
  </si>
  <si>
    <t>EMP1025</t>
  </si>
  <si>
    <t>Aman Tiwari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</si>
  <si>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</si>
  <si>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</si>
  <si>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</si>
  <si>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</si>
  <si>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</si>
  <si>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</si>
  <si>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</si>
  <si>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</si>
  <si>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</si>
  <si>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</si>
  <si>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</si>
  <si>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</si>
  <si>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Emplyee Attendance Sheet</t>
  </si>
  <si>
    <t>Month</t>
  </si>
  <si>
    <t>Date</t>
  </si>
  <si>
    <t>Day</t>
  </si>
  <si>
    <t>TO</t>
  </si>
  <si>
    <t>Absent</t>
  </si>
  <si>
    <t>Present</t>
  </si>
  <si>
    <t>a</t>
  </si>
  <si>
    <t xml:space="preserve">Attendance </t>
  </si>
  <si>
    <t>Earned sallary</t>
  </si>
  <si>
    <t>HRA 20%</t>
  </si>
  <si>
    <t>DA 10%</t>
  </si>
  <si>
    <t>Gross Salary</t>
  </si>
  <si>
    <t>PF 12%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</si>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</sst>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"/>
  </numFmts>
  <fonts count="7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FFFF"/>
      <name val="Calibri"/>
      <family val="2"/>
    </font>
    <font>
      <sz val="24"/>
      <color theme="1"/>
      <name val="Calibri"/>
      <family val="2"/>
      <scheme val="minor"/>
    </font>
    <font>
      <sz val="12"/>
      <color theme="9" tint="0.59999389629810485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rgb="FF1F4E78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5" fillId="4" borderId="0" xfId="0" applyFont="1" applyFill="1" applyAlignment="1"/>
    <xf numFmtId="0" fontId="0" fillId="6" borderId="0" xfId="0" applyFill="1"/>
    <xf numFmtId="0" fontId="0" fillId="3" borderId="0" xfId="0" applyFill="1"/>
    <xf numFmtId="0" fontId="4" fillId="7" borderId="0" xfId="0" applyFont="1" applyFill="1"/>
    <xf numFmtId="0" fontId="0" fillId="8" borderId="0" xfId="0" applyFill="1"/>
    <xf numFmtId="0" fontId="0" fillId="9" borderId="0" xfId="0" applyFill="1" applyAlignment="1">
      <alignment horizontal="center"/>
    </xf>
    <xf numFmtId="14" fontId="2" fillId="10" borderId="0" xfId="0" applyNumberFormat="1" applyFont="1" applyFill="1"/>
    <xf numFmtId="0" fontId="4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7" borderId="1" xfId="0" applyFont="1" applyFill="1" applyBorder="1"/>
    <xf numFmtId="165" fontId="4" fillId="7" borderId="1" xfId="0" applyNumberFormat="1" applyFont="1" applyFill="1" applyBorder="1"/>
    <xf numFmtId="165" fontId="4" fillId="7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1" fillId="2" borderId="1" xfId="0" applyFont="1" applyFill="1" applyBorder="1"/>
    <xf numFmtId="0" fontId="4" fillId="2" borderId="1" xfId="0" applyFont="1" applyFill="1" applyBorder="1"/>
    <xf numFmtId="0" fontId="6" fillId="5" borderId="0" xfId="0" applyFont="1" applyFill="1"/>
  </cellXfs>
  <cellStyles count="1">
    <cellStyle name="Normal" xfId="0" builtinId="0"/>
  </cellStyles>
  <dxfs count="3"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6"/>
  <sheetViews>
    <sheetView workbookViewId="0">
      <pane ySplit="1" topLeftCell="A2" activePane="bottomLeft" state="frozen"/>
      <selection pane="bottomLeft" activeCell="E14" sqref="E14"/>
    </sheetView>
  </sheetViews>
  <sheetFormatPr defaultRowHeight="15" x14ac:dyDescent="0.25"/>
  <cols>
    <col min="1" max="8" width="22" customWidth="1"/>
    <col min="9" max="9" width="11.5703125" customWidth="1"/>
  </cols>
  <sheetData>
    <row r="1" spans="1:11" x14ac:dyDescent="0.25">
      <c r="A1" s="16" t="s">
        <v>0</v>
      </c>
      <c r="B1" s="16" t="s">
        <v>1</v>
      </c>
      <c r="C1" s="16" t="s">
        <v>2</v>
      </c>
      <c r="D1" s="16" t="s">
        <v>3</v>
      </c>
      <c r="E1" s="17" t="s">
        <v>82</v>
      </c>
      <c r="F1" s="17" t="s">
        <v>83</v>
      </c>
      <c r="G1" s="17" t="s">
        <v>84</v>
      </c>
      <c r="H1" s="17" t="s">
        <v>85</v>
      </c>
      <c r="I1" s="17" t="s">
        <v>86</v>
      </c>
      <c r="J1" s="17" t="s">
        <v>87</v>
      </c>
      <c r="K1" s="16" t="s">
        <v>4</v>
      </c>
    </row>
    <row r="2" spans="1:11" x14ac:dyDescent="0.25">
      <c r="A2" s="15" t="s">
        <v>5</v>
      </c>
      <c r="B2" s="15" t="s">
        <v>6</v>
      </c>
      <c r="C2" s="15" t="s">
        <v>7</v>
      </c>
      <c r="D2" s="15">
        <v>49001</v>
      </c>
      <c r="E2" s="15">
        <f>'attendance sheet'!AK5</f>
        <v>29</v>
      </c>
      <c r="F2" s="15">
        <f>D2/30*E2</f>
        <v>47367.633333333331</v>
      </c>
      <c r="G2" s="15">
        <f>D2*20%</f>
        <v>9800.2000000000007</v>
      </c>
      <c r="H2" s="15">
        <f>D2*10%</f>
        <v>4900.1000000000004</v>
      </c>
      <c r="I2" s="15">
        <f>F2+G2+H2</f>
        <v>62067.933333333327</v>
      </c>
      <c r="J2" s="15">
        <f>D2*12%</f>
        <v>5880.12</v>
      </c>
      <c r="K2" s="15">
        <f>I2-J2</f>
        <v>56187.813333333324</v>
      </c>
    </row>
    <row r="3" spans="1:11" x14ac:dyDescent="0.25">
      <c r="A3" s="15" t="s">
        <v>8</v>
      </c>
      <c r="B3" s="15" t="s">
        <v>9</v>
      </c>
      <c r="C3" s="15" t="s">
        <v>10</v>
      </c>
      <c r="D3" s="15">
        <v>30423</v>
      </c>
      <c r="E3" s="15">
        <f>'attendance sheet'!AK6</f>
        <v>27</v>
      </c>
      <c r="F3" s="15">
        <f t="shared" ref="F3:F26" si="0">D3/30*E3</f>
        <v>27380.7</v>
      </c>
      <c r="G3" s="15">
        <f t="shared" ref="G3:G26" si="1">D3*20%</f>
        <v>6084.6</v>
      </c>
      <c r="H3" s="15">
        <f t="shared" ref="H3:H26" si="2">D3*10%</f>
        <v>3042.3</v>
      </c>
      <c r="I3" s="15">
        <f t="shared" ref="I3:I26" si="3">F3+G3+H3</f>
        <v>36507.600000000006</v>
      </c>
      <c r="J3" s="15">
        <f t="shared" ref="J3:J26" si="4">D3*12%</f>
        <v>3650.7599999999998</v>
      </c>
      <c r="K3" s="15">
        <f t="shared" ref="K3:K26" si="5">I3-J3</f>
        <v>32856.840000000004</v>
      </c>
    </row>
    <row r="4" spans="1:11" x14ac:dyDescent="0.25">
      <c r="A4" s="15" t="s">
        <v>11</v>
      </c>
      <c r="B4" s="15" t="s">
        <v>12</v>
      </c>
      <c r="C4" s="15" t="s">
        <v>13</v>
      </c>
      <c r="D4" s="15">
        <v>44699</v>
      </c>
      <c r="E4" s="15">
        <f>'attendance sheet'!AK7</f>
        <v>30</v>
      </c>
      <c r="F4" s="15">
        <f t="shared" si="0"/>
        <v>44699</v>
      </c>
      <c r="G4" s="15">
        <f t="shared" si="1"/>
        <v>8939.8000000000011</v>
      </c>
      <c r="H4" s="15">
        <f t="shared" si="2"/>
        <v>4469.9000000000005</v>
      </c>
      <c r="I4" s="15">
        <f t="shared" si="3"/>
        <v>58108.700000000004</v>
      </c>
      <c r="J4" s="15">
        <f t="shared" si="4"/>
        <v>5363.88</v>
      </c>
      <c r="K4" s="15">
        <f t="shared" si="5"/>
        <v>52744.820000000007</v>
      </c>
    </row>
    <row r="5" spans="1:11" x14ac:dyDescent="0.25">
      <c r="A5" s="15" t="s">
        <v>14</v>
      </c>
      <c r="B5" s="15" t="s">
        <v>15</v>
      </c>
      <c r="C5" s="15" t="s">
        <v>13</v>
      </c>
      <c r="D5" s="15">
        <v>27522</v>
      </c>
      <c r="E5" s="15">
        <f>'attendance sheet'!AK8</f>
        <v>29</v>
      </c>
      <c r="F5" s="15">
        <f t="shared" si="0"/>
        <v>26604.6</v>
      </c>
      <c r="G5" s="15">
        <f t="shared" si="1"/>
        <v>5504.4000000000005</v>
      </c>
      <c r="H5" s="15">
        <f t="shared" si="2"/>
        <v>2752.2000000000003</v>
      </c>
      <c r="I5" s="15">
        <f t="shared" si="3"/>
        <v>34861.199999999997</v>
      </c>
      <c r="J5" s="15">
        <f t="shared" si="4"/>
        <v>3302.64</v>
      </c>
      <c r="K5" s="15">
        <f t="shared" si="5"/>
        <v>31558.559999999998</v>
      </c>
    </row>
    <row r="6" spans="1:11" x14ac:dyDescent="0.25">
      <c r="A6" s="15" t="s">
        <v>16</v>
      </c>
      <c r="B6" s="15" t="s">
        <v>17</v>
      </c>
      <c r="C6" s="15" t="s">
        <v>18</v>
      </c>
      <c r="D6" s="15">
        <v>47586</v>
      </c>
      <c r="E6" s="15">
        <f>'attendance sheet'!AK9</f>
        <v>28</v>
      </c>
      <c r="F6" s="15">
        <f t="shared" si="0"/>
        <v>44413.599999999999</v>
      </c>
      <c r="G6" s="15">
        <f t="shared" si="1"/>
        <v>9517.2000000000007</v>
      </c>
      <c r="H6" s="15">
        <f t="shared" si="2"/>
        <v>4758.6000000000004</v>
      </c>
      <c r="I6" s="15">
        <f t="shared" si="3"/>
        <v>58689.4</v>
      </c>
      <c r="J6" s="15">
        <f t="shared" si="4"/>
        <v>5710.32</v>
      </c>
      <c r="K6" s="15">
        <f t="shared" si="5"/>
        <v>52979.08</v>
      </c>
    </row>
    <row r="7" spans="1:11" x14ac:dyDescent="0.25">
      <c r="A7" s="15" t="s">
        <v>19</v>
      </c>
      <c r="B7" s="15" t="s">
        <v>20</v>
      </c>
      <c r="C7" s="15" t="s">
        <v>21</v>
      </c>
      <c r="D7" s="15">
        <v>40357</v>
      </c>
      <c r="E7" s="15">
        <f>'attendance sheet'!AK10</f>
        <v>28</v>
      </c>
      <c r="F7" s="15">
        <f t="shared" si="0"/>
        <v>37666.533333333333</v>
      </c>
      <c r="G7" s="15">
        <f t="shared" si="1"/>
        <v>8071.4000000000005</v>
      </c>
      <c r="H7" s="15">
        <f t="shared" si="2"/>
        <v>4035.7000000000003</v>
      </c>
      <c r="I7" s="15">
        <f t="shared" si="3"/>
        <v>49773.633333333331</v>
      </c>
      <c r="J7" s="15">
        <f t="shared" si="4"/>
        <v>4842.84</v>
      </c>
      <c r="K7" s="15">
        <f t="shared" si="5"/>
        <v>44930.793333333335</v>
      </c>
    </row>
    <row r="8" spans="1:11" x14ac:dyDescent="0.25">
      <c r="A8" s="15" t="s">
        <v>22</v>
      </c>
      <c r="B8" s="15" t="s">
        <v>23</v>
      </c>
      <c r="C8" s="15" t="s">
        <v>13</v>
      </c>
      <c r="D8" s="15">
        <v>37866</v>
      </c>
      <c r="E8" s="15">
        <f>'attendance sheet'!AK11</f>
        <v>28</v>
      </c>
      <c r="F8" s="15">
        <f t="shared" si="0"/>
        <v>35341.599999999999</v>
      </c>
      <c r="G8" s="15">
        <f t="shared" si="1"/>
        <v>7573.2000000000007</v>
      </c>
      <c r="H8" s="15">
        <f t="shared" si="2"/>
        <v>3786.6000000000004</v>
      </c>
      <c r="I8" s="15">
        <f t="shared" si="3"/>
        <v>46701.4</v>
      </c>
      <c r="J8" s="15">
        <f t="shared" si="4"/>
        <v>4543.92</v>
      </c>
      <c r="K8" s="15">
        <f t="shared" si="5"/>
        <v>42157.48</v>
      </c>
    </row>
    <row r="9" spans="1:11" x14ac:dyDescent="0.25">
      <c r="A9" s="15" t="s">
        <v>24</v>
      </c>
      <c r="B9" s="15" t="s">
        <v>25</v>
      </c>
      <c r="C9" s="15" t="s">
        <v>18</v>
      </c>
      <c r="D9" s="15">
        <v>43312</v>
      </c>
      <c r="E9" s="15">
        <f>'attendance sheet'!AK12</f>
        <v>30</v>
      </c>
      <c r="F9" s="15">
        <f t="shared" si="0"/>
        <v>43312</v>
      </c>
      <c r="G9" s="15">
        <f t="shared" si="1"/>
        <v>8662.4</v>
      </c>
      <c r="H9" s="15">
        <f t="shared" si="2"/>
        <v>4331.2</v>
      </c>
      <c r="I9" s="15">
        <f t="shared" si="3"/>
        <v>56305.599999999999</v>
      </c>
      <c r="J9" s="15">
        <f t="shared" si="4"/>
        <v>5197.4399999999996</v>
      </c>
      <c r="K9" s="15">
        <f t="shared" si="5"/>
        <v>51108.159999999996</v>
      </c>
    </row>
    <row r="10" spans="1:11" x14ac:dyDescent="0.25">
      <c r="A10" s="15" t="s">
        <v>26</v>
      </c>
      <c r="B10" s="15" t="s">
        <v>27</v>
      </c>
      <c r="C10" s="15" t="s">
        <v>13</v>
      </c>
      <c r="D10" s="15">
        <v>34327</v>
      </c>
      <c r="E10" s="15">
        <f>'attendance sheet'!AK13</f>
        <v>30</v>
      </c>
      <c r="F10" s="15">
        <f t="shared" si="0"/>
        <v>34327</v>
      </c>
      <c r="G10" s="15">
        <f t="shared" si="1"/>
        <v>6865.4000000000005</v>
      </c>
      <c r="H10" s="15">
        <f t="shared" si="2"/>
        <v>3432.7000000000003</v>
      </c>
      <c r="I10" s="15">
        <f t="shared" si="3"/>
        <v>44625.1</v>
      </c>
      <c r="J10" s="15">
        <f t="shared" si="4"/>
        <v>4119.24</v>
      </c>
      <c r="K10" s="15">
        <f t="shared" si="5"/>
        <v>40505.86</v>
      </c>
    </row>
    <row r="11" spans="1:11" x14ac:dyDescent="0.25">
      <c r="A11" s="15" t="s">
        <v>28</v>
      </c>
      <c r="B11" s="15" t="s">
        <v>29</v>
      </c>
      <c r="C11" s="15" t="s">
        <v>10</v>
      </c>
      <c r="D11" s="15">
        <v>39364</v>
      </c>
      <c r="E11" s="15">
        <f>'attendance sheet'!AK14</f>
        <v>28</v>
      </c>
      <c r="F11" s="15">
        <f t="shared" si="0"/>
        <v>36739.733333333337</v>
      </c>
      <c r="G11" s="15">
        <f t="shared" si="1"/>
        <v>7872.8</v>
      </c>
      <c r="H11" s="15">
        <f t="shared" si="2"/>
        <v>3936.4</v>
      </c>
      <c r="I11" s="15">
        <f t="shared" si="3"/>
        <v>48548.933333333342</v>
      </c>
      <c r="J11" s="15">
        <f t="shared" si="4"/>
        <v>4723.6799999999994</v>
      </c>
      <c r="K11" s="15">
        <f t="shared" si="5"/>
        <v>43825.253333333341</v>
      </c>
    </row>
    <row r="12" spans="1:11" x14ac:dyDescent="0.25">
      <c r="A12" s="15" t="s">
        <v>30</v>
      </c>
      <c r="B12" s="15" t="s">
        <v>31</v>
      </c>
      <c r="C12" s="15" t="s">
        <v>21</v>
      </c>
      <c r="D12" s="15">
        <v>46388</v>
      </c>
      <c r="E12" s="15">
        <f>'attendance sheet'!AK15</f>
        <v>30</v>
      </c>
      <c r="F12" s="15">
        <f t="shared" si="0"/>
        <v>46388</v>
      </c>
      <c r="G12" s="15">
        <f t="shared" si="1"/>
        <v>9277.6</v>
      </c>
      <c r="H12" s="15">
        <f t="shared" si="2"/>
        <v>4638.8</v>
      </c>
      <c r="I12" s="15">
        <f t="shared" si="3"/>
        <v>60304.4</v>
      </c>
      <c r="J12" s="15">
        <f t="shared" si="4"/>
        <v>5566.5599999999995</v>
      </c>
      <c r="K12" s="15">
        <f t="shared" si="5"/>
        <v>54737.840000000004</v>
      </c>
    </row>
    <row r="13" spans="1:11" x14ac:dyDescent="0.25">
      <c r="A13" s="15" t="s">
        <v>32</v>
      </c>
      <c r="B13" s="15" t="s">
        <v>33</v>
      </c>
      <c r="C13" s="15" t="s">
        <v>7</v>
      </c>
      <c r="D13" s="15">
        <v>33591</v>
      </c>
      <c r="E13" s="15">
        <f>'attendance sheet'!AK16</f>
        <v>30</v>
      </c>
      <c r="F13" s="15">
        <f t="shared" si="0"/>
        <v>33591</v>
      </c>
      <c r="G13" s="15">
        <f t="shared" si="1"/>
        <v>6718.2000000000007</v>
      </c>
      <c r="H13" s="15">
        <f t="shared" si="2"/>
        <v>3359.1000000000004</v>
      </c>
      <c r="I13" s="15">
        <f t="shared" si="3"/>
        <v>43668.299999999996</v>
      </c>
      <c r="J13" s="15">
        <f t="shared" si="4"/>
        <v>4030.92</v>
      </c>
      <c r="K13" s="15">
        <f t="shared" si="5"/>
        <v>39637.379999999997</v>
      </c>
    </row>
    <row r="14" spans="1:11" x14ac:dyDescent="0.25">
      <c r="A14" s="15" t="s">
        <v>34</v>
      </c>
      <c r="B14" s="15" t="s">
        <v>35</v>
      </c>
      <c r="C14" s="15" t="s">
        <v>13</v>
      </c>
      <c r="D14" s="15">
        <v>45274</v>
      </c>
      <c r="E14" s="15">
        <f>'attendance sheet'!AK17</f>
        <v>30</v>
      </c>
      <c r="F14" s="15">
        <f t="shared" si="0"/>
        <v>45274</v>
      </c>
      <c r="G14" s="15">
        <f t="shared" si="1"/>
        <v>9054.8000000000011</v>
      </c>
      <c r="H14" s="15">
        <f t="shared" si="2"/>
        <v>4527.4000000000005</v>
      </c>
      <c r="I14" s="15">
        <f t="shared" si="3"/>
        <v>58856.200000000004</v>
      </c>
      <c r="J14" s="15">
        <f t="shared" si="4"/>
        <v>5432.88</v>
      </c>
      <c r="K14" s="15">
        <f t="shared" si="5"/>
        <v>53423.320000000007</v>
      </c>
    </row>
    <row r="15" spans="1:11" x14ac:dyDescent="0.25">
      <c r="A15" s="15" t="s">
        <v>36</v>
      </c>
      <c r="B15" s="15" t="s">
        <v>37</v>
      </c>
      <c r="C15" s="15" t="s">
        <v>38</v>
      </c>
      <c r="D15" s="15">
        <v>35000</v>
      </c>
      <c r="E15" s="15">
        <f>'attendance sheet'!AK18</f>
        <v>30</v>
      </c>
      <c r="F15" s="15">
        <f t="shared" si="0"/>
        <v>35000</v>
      </c>
      <c r="G15" s="15">
        <f t="shared" si="1"/>
        <v>7000</v>
      </c>
      <c r="H15" s="15">
        <f t="shared" si="2"/>
        <v>3500</v>
      </c>
      <c r="I15" s="15">
        <f t="shared" si="3"/>
        <v>45500</v>
      </c>
      <c r="J15" s="15">
        <f t="shared" si="4"/>
        <v>4200</v>
      </c>
      <c r="K15" s="15">
        <f t="shared" si="5"/>
        <v>41300</v>
      </c>
    </row>
    <row r="16" spans="1:11" x14ac:dyDescent="0.25">
      <c r="A16" s="15" t="s">
        <v>39</v>
      </c>
      <c r="B16" s="15" t="s">
        <v>40</v>
      </c>
      <c r="C16" s="15" t="s">
        <v>38</v>
      </c>
      <c r="D16" s="15">
        <v>41269</v>
      </c>
      <c r="E16" s="15">
        <f>'attendance sheet'!AK19</f>
        <v>30</v>
      </c>
      <c r="F16" s="15">
        <f t="shared" si="0"/>
        <v>41269</v>
      </c>
      <c r="G16" s="15">
        <f t="shared" si="1"/>
        <v>8253.8000000000011</v>
      </c>
      <c r="H16" s="15">
        <f t="shared" si="2"/>
        <v>4126.9000000000005</v>
      </c>
      <c r="I16" s="15">
        <f t="shared" si="3"/>
        <v>53649.700000000004</v>
      </c>
      <c r="J16" s="15">
        <f t="shared" si="4"/>
        <v>4952.28</v>
      </c>
      <c r="K16" s="15">
        <f t="shared" si="5"/>
        <v>48697.420000000006</v>
      </c>
    </row>
    <row r="17" spans="1:11" x14ac:dyDescent="0.25">
      <c r="A17" s="15" t="s">
        <v>41</v>
      </c>
      <c r="B17" s="15" t="s">
        <v>42</v>
      </c>
      <c r="C17" s="15" t="s">
        <v>21</v>
      </c>
      <c r="D17" s="15">
        <v>41935</v>
      </c>
      <c r="E17" s="15">
        <f>'attendance sheet'!AK20</f>
        <v>30</v>
      </c>
      <c r="F17" s="15">
        <f t="shared" si="0"/>
        <v>41935</v>
      </c>
      <c r="G17" s="15">
        <f t="shared" si="1"/>
        <v>8387</v>
      </c>
      <c r="H17" s="15">
        <f t="shared" si="2"/>
        <v>4193.5</v>
      </c>
      <c r="I17" s="15">
        <f t="shared" si="3"/>
        <v>54515.5</v>
      </c>
      <c r="J17" s="15">
        <f t="shared" si="4"/>
        <v>5032.2</v>
      </c>
      <c r="K17" s="15">
        <f t="shared" si="5"/>
        <v>49483.3</v>
      </c>
    </row>
    <row r="18" spans="1:11" x14ac:dyDescent="0.25">
      <c r="A18" s="15" t="s">
        <v>43</v>
      </c>
      <c r="B18" s="15" t="s">
        <v>44</v>
      </c>
      <c r="C18" s="15" t="s">
        <v>7</v>
      </c>
      <c r="D18" s="15">
        <v>47693</v>
      </c>
      <c r="E18" s="15">
        <f>'attendance sheet'!AK21</f>
        <v>30</v>
      </c>
      <c r="F18" s="15">
        <f t="shared" si="0"/>
        <v>47693</v>
      </c>
      <c r="G18" s="15">
        <f t="shared" si="1"/>
        <v>9538.6</v>
      </c>
      <c r="H18" s="15">
        <f t="shared" si="2"/>
        <v>4769.3</v>
      </c>
      <c r="I18" s="15">
        <f t="shared" si="3"/>
        <v>62000.9</v>
      </c>
      <c r="J18" s="15">
        <f t="shared" si="4"/>
        <v>5723.16</v>
      </c>
      <c r="K18" s="15">
        <f t="shared" si="5"/>
        <v>56277.740000000005</v>
      </c>
    </row>
    <row r="19" spans="1:11" x14ac:dyDescent="0.25">
      <c r="A19" s="15" t="s">
        <v>45</v>
      </c>
      <c r="B19" s="15" t="s">
        <v>46</v>
      </c>
      <c r="C19" s="15" t="s">
        <v>21</v>
      </c>
      <c r="D19" s="15">
        <v>34928</v>
      </c>
      <c r="E19" s="15">
        <f>'attendance sheet'!AK22</f>
        <v>30</v>
      </c>
      <c r="F19" s="15">
        <f t="shared" si="0"/>
        <v>34928</v>
      </c>
      <c r="G19" s="15">
        <f t="shared" si="1"/>
        <v>6985.6</v>
      </c>
      <c r="H19" s="15">
        <f t="shared" si="2"/>
        <v>3492.8</v>
      </c>
      <c r="I19" s="15">
        <f t="shared" si="3"/>
        <v>45406.400000000001</v>
      </c>
      <c r="J19" s="15">
        <f t="shared" si="4"/>
        <v>4191.3599999999997</v>
      </c>
      <c r="K19" s="15">
        <f t="shared" si="5"/>
        <v>41215.040000000001</v>
      </c>
    </row>
    <row r="20" spans="1:11" x14ac:dyDescent="0.25">
      <c r="A20" s="15" t="s">
        <v>47</v>
      </c>
      <c r="B20" s="15" t="s">
        <v>48</v>
      </c>
      <c r="C20" s="15" t="s">
        <v>49</v>
      </c>
      <c r="D20" s="15">
        <v>47562</v>
      </c>
      <c r="E20" s="15">
        <f>'attendance sheet'!AK23</f>
        <v>30</v>
      </c>
      <c r="F20" s="15">
        <f t="shared" si="0"/>
        <v>47562</v>
      </c>
      <c r="G20" s="15">
        <f t="shared" si="1"/>
        <v>9512.4</v>
      </c>
      <c r="H20" s="15">
        <f t="shared" si="2"/>
        <v>4756.2</v>
      </c>
      <c r="I20" s="15">
        <f t="shared" si="3"/>
        <v>61830.6</v>
      </c>
      <c r="J20" s="15">
        <f t="shared" si="4"/>
        <v>5707.44</v>
      </c>
      <c r="K20" s="15">
        <f t="shared" si="5"/>
        <v>56123.159999999996</v>
      </c>
    </row>
    <row r="21" spans="1:11" x14ac:dyDescent="0.25">
      <c r="A21" s="15" t="s">
        <v>50</v>
      </c>
      <c r="B21" s="15" t="s">
        <v>51</v>
      </c>
      <c r="C21" s="15" t="s">
        <v>7</v>
      </c>
      <c r="D21" s="15">
        <v>31624</v>
      </c>
      <c r="E21" s="15">
        <f>'attendance sheet'!AK24</f>
        <v>30</v>
      </c>
      <c r="F21" s="15">
        <f t="shared" si="0"/>
        <v>31624.000000000004</v>
      </c>
      <c r="G21" s="15">
        <f t="shared" si="1"/>
        <v>6324.8</v>
      </c>
      <c r="H21" s="15">
        <f t="shared" si="2"/>
        <v>3162.4</v>
      </c>
      <c r="I21" s="15">
        <f t="shared" si="3"/>
        <v>41111.200000000004</v>
      </c>
      <c r="J21" s="15">
        <f t="shared" si="4"/>
        <v>3794.8799999999997</v>
      </c>
      <c r="K21" s="15">
        <f t="shared" si="5"/>
        <v>37316.320000000007</v>
      </c>
    </row>
    <row r="22" spans="1:11" x14ac:dyDescent="0.25">
      <c r="A22" s="15" t="s">
        <v>52</v>
      </c>
      <c r="B22" s="15" t="s">
        <v>53</v>
      </c>
      <c r="C22" s="15" t="s">
        <v>7</v>
      </c>
      <c r="D22" s="15">
        <v>34704</v>
      </c>
      <c r="E22" s="15">
        <f>'attendance sheet'!AK25</f>
        <v>30</v>
      </c>
      <c r="F22" s="15">
        <f t="shared" si="0"/>
        <v>34704</v>
      </c>
      <c r="G22" s="15">
        <f t="shared" si="1"/>
        <v>6940.8</v>
      </c>
      <c r="H22" s="15">
        <f t="shared" si="2"/>
        <v>3470.4</v>
      </c>
      <c r="I22" s="15">
        <f t="shared" si="3"/>
        <v>45115.200000000004</v>
      </c>
      <c r="J22" s="15">
        <f t="shared" si="4"/>
        <v>4164.4799999999996</v>
      </c>
      <c r="K22" s="15">
        <f t="shared" si="5"/>
        <v>40950.720000000001</v>
      </c>
    </row>
    <row r="23" spans="1:11" x14ac:dyDescent="0.25">
      <c r="A23" s="15" t="s">
        <v>54</v>
      </c>
      <c r="B23" s="15" t="s">
        <v>55</v>
      </c>
      <c r="C23" s="15" t="s">
        <v>7</v>
      </c>
      <c r="D23" s="15">
        <v>43081</v>
      </c>
      <c r="E23" s="15">
        <f>'attendance sheet'!AK26</f>
        <v>30</v>
      </c>
      <c r="F23" s="15">
        <f t="shared" si="0"/>
        <v>43081</v>
      </c>
      <c r="G23" s="15">
        <f t="shared" si="1"/>
        <v>8616.2000000000007</v>
      </c>
      <c r="H23" s="15">
        <f t="shared" si="2"/>
        <v>4308.1000000000004</v>
      </c>
      <c r="I23" s="15">
        <f t="shared" si="3"/>
        <v>56005.299999999996</v>
      </c>
      <c r="J23" s="15">
        <f t="shared" si="4"/>
        <v>5169.72</v>
      </c>
      <c r="K23" s="15">
        <f t="shared" si="5"/>
        <v>50835.579999999994</v>
      </c>
    </row>
    <row r="24" spans="1:11" x14ac:dyDescent="0.25">
      <c r="A24" s="15" t="s">
        <v>56</v>
      </c>
      <c r="B24" s="15" t="s">
        <v>57</v>
      </c>
      <c r="C24" s="15" t="s">
        <v>49</v>
      </c>
      <c r="D24" s="15">
        <v>28662</v>
      </c>
      <c r="E24" s="15">
        <f>'attendance sheet'!AK27</f>
        <v>30</v>
      </c>
      <c r="F24" s="15">
        <f t="shared" si="0"/>
        <v>28662</v>
      </c>
      <c r="G24" s="15">
        <f t="shared" si="1"/>
        <v>5732.4000000000005</v>
      </c>
      <c r="H24" s="15">
        <f t="shared" si="2"/>
        <v>2866.2000000000003</v>
      </c>
      <c r="I24" s="15">
        <f t="shared" si="3"/>
        <v>37260.6</v>
      </c>
      <c r="J24" s="15">
        <f t="shared" si="4"/>
        <v>3439.44</v>
      </c>
      <c r="K24" s="15">
        <f t="shared" si="5"/>
        <v>33821.159999999996</v>
      </c>
    </row>
    <row r="25" spans="1:11" x14ac:dyDescent="0.25">
      <c r="A25" s="15" t="s">
        <v>58</v>
      </c>
      <c r="B25" s="15" t="s">
        <v>59</v>
      </c>
      <c r="C25" s="15" t="s">
        <v>13</v>
      </c>
      <c r="D25" s="15">
        <v>42269</v>
      </c>
      <c r="E25" s="15">
        <f>'attendance sheet'!AK28</f>
        <v>30</v>
      </c>
      <c r="F25" s="15">
        <f t="shared" si="0"/>
        <v>42269</v>
      </c>
      <c r="G25" s="15">
        <f t="shared" si="1"/>
        <v>8453.8000000000011</v>
      </c>
      <c r="H25" s="15">
        <f t="shared" si="2"/>
        <v>4226.9000000000005</v>
      </c>
      <c r="I25" s="15">
        <f t="shared" si="3"/>
        <v>54949.700000000004</v>
      </c>
      <c r="J25" s="15">
        <f t="shared" si="4"/>
        <v>5072.28</v>
      </c>
      <c r="K25" s="15">
        <f t="shared" si="5"/>
        <v>49877.420000000006</v>
      </c>
    </row>
    <row r="26" spans="1:11" x14ac:dyDescent="0.25">
      <c r="A26" s="15" t="s">
        <v>60</v>
      </c>
      <c r="B26" s="15" t="s">
        <v>61</v>
      </c>
      <c r="C26" s="15" t="s">
        <v>13</v>
      </c>
      <c r="D26" s="15">
        <v>34490</v>
      </c>
      <c r="E26" s="15">
        <f>'attendance sheet'!AK29</f>
        <v>30</v>
      </c>
      <c r="F26" s="15">
        <f t="shared" si="0"/>
        <v>34490</v>
      </c>
      <c r="G26" s="15">
        <f t="shared" si="1"/>
        <v>6898</v>
      </c>
      <c r="H26" s="15">
        <f t="shared" si="2"/>
        <v>3449</v>
      </c>
      <c r="I26" s="15">
        <f t="shared" si="3"/>
        <v>44837</v>
      </c>
      <c r="J26" s="15">
        <f t="shared" si="4"/>
        <v>4138.8</v>
      </c>
      <c r="K26" s="15">
        <f t="shared" si="5"/>
        <v>40698.199999999997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FCB6-772D-43B9-90B4-2F854E64FD2C}">
  <dimension ref="A1:BA29"/>
  <sheetViews>
    <sheetView tabSelected="1" zoomScale="85" zoomScaleNormal="85" workbookViewId="0">
      <selection activeCell="N13" sqref="N13"/>
    </sheetView>
  </sheetViews>
  <sheetFormatPr defaultRowHeight="15" x14ac:dyDescent="0.25"/>
  <cols>
    <col min="1" max="1" width="12.140625" bestFit="1" customWidth="1"/>
    <col min="2" max="2" width="15.7109375" bestFit="1" customWidth="1"/>
    <col min="3" max="3" width="20.140625" bestFit="1" customWidth="1"/>
    <col min="5" max="7" width="10.42578125" bestFit="1" customWidth="1"/>
    <col min="13" max="13" width="10.42578125" bestFit="1" customWidth="1"/>
  </cols>
  <sheetData>
    <row r="1" spans="1:53" s="1" customFormat="1" ht="30" customHeight="1" x14ac:dyDescent="0.5">
      <c r="J1" s="1" t="s">
        <v>74</v>
      </c>
    </row>
    <row r="2" spans="1:53" ht="25.5" customHeight="1" x14ac:dyDescent="0.25">
      <c r="A2" s="18" t="s">
        <v>75</v>
      </c>
      <c r="B2" s="2" t="s">
        <v>67</v>
      </c>
      <c r="G2" s="7">
        <f>DATEVALUE("1"&amp;B2&amp;"2026")</f>
        <v>46174</v>
      </c>
      <c r="J2" s="6" t="s">
        <v>78</v>
      </c>
      <c r="M2" s="7">
        <f>EOMONTH(G2,0)</f>
        <v>46203</v>
      </c>
    </row>
    <row r="3" spans="1:53" s="3" customFormat="1" ht="27" customHeight="1" x14ac:dyDescent="0.25">
      <c r="A3" s="8" t="s">
        <v>0</v>
      </c>
      <c r="B3" s="8" t="s">
        <v>1</v>
      </c>
      <c r="C3" s="9" t="s">
        <v>2</v>
      </c>
      <c r="D3" s="10" t="s">
        <v>76</v>
      </c>
      <c r="E3" s="11">
        <f>G2</f>
        <v>46174</v>
      </c>
      <c r="F3" s="11">
        <f>IF(E3&lt;$M$2,E3+1,"")</f>
        <v>46175</v>
      </c>
      <c r="G3" s="11">
        <f t="shared" ref="G3:AI3" si="0">IF(F3&lt;$M$2,F3+1,"")</f>
        <v>46176</v>
      </c>
      <c r="H3" s="11">
        <f t="shared" si="0"/>
        <v>46177</v>
      </c>
      <c r="I3" s="11">
        <f t="shared" si="0"/>
        <v>46178</v>
      </c>
      <c r="J3" s="11">
        <f t="shared" si="0"/>
        <v>46179</v>
      </c>
      <c r="K3" s="11">
        <f t="shared" si="0"/>
        <v>46180</v>
      </c>
      <c r="L3" s="11">
        <f t="shared" si="0"/>
        <v>46181</v>
      </c>
      <c r="M3" s="11">
        <f t="shared" si="0"/>
        <v>46182</v>
      </c>
      <c r="N3" s="11">
        <f t="shared" si="0"/>
        <v>46183</v>
      </c>
      <c r="O3" s="11">
        <f t="shared" si="0"/>
        <v>46184</v>
      </c>
      <c r="P3" s="11">
        <f t="shared" si="0"/>
        <v>46185</v>
      </c>
      <c r="Q3" s="11">
        <f t="shared" si="0"/>
        <v>46186</v>
      </c>
      <c r="R3" s="11">
        <f t="shared" si="0"/>
        <v>46187</v>
      </c>
      <c r="S3" s="11">
        <f t="shared" si="0"/>
        <v>46188</v>
      </c>
      <c r="T3" s="11">
        <f t="shared" si="0"/>
        <v>46189</v>
      </c>
      <c r="U3" s="11">
        <f t="shared" si="0"/>
        <v>46190</v>
      </c>
      <c r="V3" s="11">
        <f t="shared" si="0"/>
        <v>46191</v>
      </c>
      <c r="W3" s="11">
        <f t="shared" si="0"/>
        <v>46192</v>
      </c>
      <c r="X3" s="11">
        <f t="shared" si="0"/>
        <v>46193</v>
      </c>
      <c r="Y3" s="11">
        <f t="shared" si="0"/>
        <v>46194</v>
      </c>
      <c r="Z3" s="11">
        <f t="shared" si="0"/>
        <v>46195</v>
      </c>
      <c r="AA3" s="11">
        <f t="shared" si="0"/>
        <v>46196</v>
      </c>
      <c r="AB3" s="11">
        <f t="shared" si="0"/>
        <v>46197</v>
      </c>
      <c r="AC3" s="11">
        <f t="shared" si="0"/>
        <v>46198</v>
      </c>
      <c r="AD3" s="11">
        <f t="shared" si="0"/>
        <v>46199</v>
      </c>
      <c r="AE3" s="11">
        <f t="shared" si="0"/>
        <v>46200</v>
      </c>
      <c r="AF3" s="11">
        <f t="shared" si="0"/>
        <v>46201</v>
      </c>
      <c r="AG3" s="11">
        <f t="shared" si="0"/>
        <v>46202</v>
      </c>
      <c r="AH3" s="11">
        <f t="shared" si="0"/>
        <v>46203</v>
      </c>
      <c r="AI3" s="11" t="str">
        <f t="shared" si="0"/>
        <v/>
      </c>
      <c r="AJ3" s="12" t="s">
        <v>79</v>
      </c>
      <c r="AK3" s="13" t="s">
        <v>80</v>
      </c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</row>
    <row r="4" spans="1:53" x14ac:dyDescent="0.25">
      <c r="A4" s="8"/>
      <c r="B4" s="9"/>
      <c r="C4" s="9"/>
      <c r="D4" s="14" t="s">
        <v>77</v>
      </c>
      <c r="E4" s="14" t="str">
        <f>TEXT(E3,"DDD")</f>
        <v>Mon</v>
      </c>
      <c r="F4" s="14" t="str">
        <f t="shared" ref="F4:AI4" si="1">TEXT(F3,"DDD")</f>
        <v>Tue</v>
      </c>
      <c r="G4" s="14" t="str">
        <f t="shared" si="1"/>
        <v>Wed</v>
      </c>
      <c r="H4" s="14" t="str">
        <f t="shared" si="1"/>
        <v>Thu</v>
      </c>
      <c r="I4" s="14" t="str">
        <f t="shared" si="1"/>
        <v>Fri</v>
      </c>
      <c r="J4" s="14" t="str">
        <f t="shared" si="1"/>
        <v>Sat</v>
      </c>
      <c r="K4" s="14" t="str">
        <f t="shared" si="1"/>
        <v>Sun</v>
      </c>
      <c r="L4" s="14" t="str">
        <f t="shared" si="1"/>
        <v>Mon</v>
      </c>
      <c r="M4" s="14" t="str">
        <f t="shared" si="1"/>
        <v>Tue</v>
      </c>
      <c r="N4" s="14" t="str">
        <f t="shared" si="1"/>
        <v>Wed</v>
      </c>
      <c r="O4" s="14" t="str">
        <f t="shared" si="1"/>
        <v>Thu</v>
      </c>
      <c r="P4" s="14" t="str">
        <f t="shared" si="1"/>
        <v>Fri</v>
      </c>
      <c r="Q4" s="14" t="str">
        <f t="shared" si="1"/>
        <v>Sat</v>
      </c>
      <c r="R4" s="14" t="str">
        <f t="shared" si="1"/>
        <v>Sun</v>
      </c>
      <c r="S4" s="14" t="str">
        <f t="shared" si="1"/>
        <v>Mon</v>
      </c>
      <c r="T4" s="14" t="str">
        <f t="shared" si="1"/>
        <v>Tue</v>
      </c>
      <c r="U4" s="14" t="str">
        <f t="shared" si="1"/>
        <v>Wed</v>
      </c>
      <c r="V4" s="14" t="str">
        <f t="shared" si="1"/>
        <v>Thu</v>
      </c>
      <c r="W4" s="14" t="str">
        <f t="shared" si="1"/>
        <v>Fri</v>
      </c>
      <c r="X4" s="14" t="str">
        <f t="shared" si="1"/>
        <v>Sat</v>
      </c>
      <c r="Y4" s="14" t="str">
        <f t="shared" si="1"/>
        <v>Sun</v>
      </c>
      <c r="Z4" s="14" t="str">
        <f t="shared" si="1"/>
        <v>Mon</v>
      </c>
      <c r="AA4" s="14" t="str">
        <f t="shared" si="1"/>
        <v>Tue</v>
      </c>
      <c r="AB4" s="14" t="str">
        <f t="shared" si="1"/>
        <v>Wed</v>
      </c>
      <c r="AC4" s="14" t="str">
        <f t="shared" si="1"/>
        <v>Thu</v>
      </c>
      <c r="AD4" s="14" t="str">
        <f t="shared" si="1"/>
        <v>Fri</v>
      </c>
      <c r="AE4" s="14" t="str">
        <f t="shared" si="1"/>
        <v>Sat</v>
      </c>
      <c r="AF4" s="14" t="str">
        <f t="shared" si="1"/>
        <v>Sun</v>
      </c>
      <c r="AG4" s="14" t="str">
        <f t="shared" si="1"/>
        <v>Mon</v>
      </c>
      <c r="AH4" s="14" t="str">
        <f t="shared" si="1"/>
        <v>Tue</v>
      </c>
      <c r="AI4" s="14" t="str">
        <f t="shared" si="1"/>
        <v/>
      </c>
      <c r="AJ4" s="12"/>
      <c r="AK4" s="13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</row>
    <row r="5" spans="1:53" x14ac:dyDescent="0.25">
      <c r="A5" s="15" t="s">
        <v>5</v>
      </c>
      <c r="B5" s="15" t="s">
        <v>6</v>
      </c>
      <c r="C5" s="15" t="s">
        <v>21</v>
      </c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 t="s">
        <v>81</v>
      </c>
      <c r="AI5" s="15"/>
      <c r="AJ5" s="15">
        <f>COUNTIF(E5:AI5,"A")</f>
        <v>1</v>
      </c>
      <c r="AK5" s="15">
        <f>30-AJ5</f>
        <v>29</v>
      </c>
    </row>
    <row r="6" spans="1:53" x14ac:dyDescent="0.25">
      <c r="A6" s="15" t="s">
        <v>8</v>
      </c>
      <c r="B6" s="15" t="s">
        <v>9</v>
      </c>
      <c r="C6" s="15" t="s">
        <v>21</v>
      </c>
      <c r="D6" s="15"/>
      <c r="E6" s="15" t="s">
        <v>81</v>
      </c>
      <c r="F6" s="15"/>
      <c r="G6" s="15"/>
      <c r="H6" s="15"/>
      <c r="I6" s="15"/>
      <c r="J6" s="15" t="s">
        <v>81</v>
      </c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 t="s">
        <v>88</v>
      </c>
      <c r="X6" s="15"/>
      <c r="Y6" s="15"/>
      <c r="Z6" s="15"/>
      <c r="AA6" s="15"/>
      <c r="AB6" s="15"/>
      <c r="AC6" s="15"/>
      <c r="AD6" s="15"/>
      <c r="AE6" s="15" t="s">
        <v>81</v>
      </c>
      <c r="AF6" s="15"/>
      <c r="AG6" s="15"/>
      <c r="AH6" s="15"/>
      <c r="AI6" s="15"/>
      <c r="AJ6" s="15">
        <f t="shared" ref="AJ6:AJ29" si="2">COUNTIF(E6:AI6,"A")</f>
        <v>3</v>
      </c>
      <c r="AK6" s="15">
        <f t="shared" ref="AK6:AK29" si="3">30-AJ6</f>
        <v>27</v>
      </c>
    </row>
    <row r="7" spans="1:53" x14ac:dyDescent="0.25">
      <c r="A7" s="15" t="s">
        <v>11</v>
      </c>
      <c r="B7" s="15" t="s">
        <v>12</v>
      </c>
      <c r="C7" s="15" t="s">
        <v>49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 t="s">
        <v>88</v>
      </c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>
        <f t="shared" si="2"/>
        <v>0</v>
      </c>
      <c r="AK7" s="15">
        <f t="shared" si="3"/>
        <v>30</v>
      </c>
    </row>
    <row r="8" spans="1:53" x14ac:dyDescent="0.25">
      <c r="A8" s="15" t="s">
        <v>14</v>
      </c>
      <c r="B8" s="15" t="s">
        <v>15</v>
      </c>
      <c r="C8" s="15" t="s">
        <v>49</v>
      </c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 t="s">
        <v>81</v>
      </c>
      <c r="AI8" s="15"/>
      <c r="AJ8" s="15">
        <f t="shared" si="2"/>
        <v>1</v>
      </c>
      <c r="AK8" s="15">
        <f t="shared" si="3"/>
        <v>29</v>
      </c>
    </row>
    <row r="9" spans="1:53" x14ac:dyDescent="0.25">
      <c r="A9" s="15" t="s">
        <v>16</v>
      </c>
      <c r="B9" s="15" t="s">
        <v>17</v>
      </c>
      <c r="C9" s="15" t="s">
        <v>21</v>
      </c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 t="s">
        <v>81</v>
      </c>
      <c r="AD9" s="15"/>
      <c r="AE9" s="15"/>
      <c r="AF9" s="15"/>
      <c r="AG9" s="15"/>
      <c r="AH9" s="15" t="s">
        <v>81</v>
      </c>
      <c r="AI9" s="15"/>
      <c r="AJ9" s="15">
        <f t="shared" si="2"/>
        <v>2</v>
      </c>
      <c r="AK9" s="15">
        <f t="shared" si="3"/>
        <v>28</v>
      </c>
    </row>
    <row r="10" spans="1:53" x14ac:dyDescent="0.25">
      <c r="A10" s="15" t="s">
        <v>19</v>
      </c>
      <c r="B10" s="15" t="s">
        <v>20</v>
      </c>
      <c r="C10" s="15" t="s">
        <v>18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 t="s">
        <v>81</v>
      </c>
      <c r="AB10" s="15"/>
      <c r="AC10" s="15" t="s">
        <v>81</v>
      </c>
      <c r="AD10" s="15"/>
      <c r="AE10" s="15"/>
      <c r="AF10" s="15"/>
      <c r="AG10" s="15"/>
      <c r="AH10" s="15"/>
      <c r="AI10" s="15"/>
      <c r="AJ10" s="15">
        <f t="shared" si="2"/>
        <v>2</v>
      </c>
      <c r="AK10" s="15">
        <f t="shared" si="3"/>
        <v>28</v>
      </c>
    </row>
    <row r="11" spans="1:53" x14ac:dyDescent="0.25">
      <c r="A11" s="15" t="s">
        <v>22</v>
      </c>
      <c r="B11" s="15" t="s">
        <v>23</v>
      </c>
      <c r="C11" s="15" t="s">
        <v>7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 t="s">
        <v>81</v>
      </c>
      <c r="X11" s="15"/>
      <c r="Y11" s="15"/>
      <c r="Z11" s="15"/>
      <c r="AA11" s="15"/>
      <c r="AB11" s="15"/>
      <c r="AC11" s="15" t="s">
        <v>81</v>
      </c>
      <c r="AD11" s="15"/>
      <c r="AE11" s="15"/>
      <c r="AF11" s="15"/>
      <c r="AG11" s="15"/>
      <c r="AH11" s="15"/>
      <c r="AI11" s="15"/>
      <c r="AJ11" s="15">
        <f t="shared" si="2"/>
        <v>2</v>
      </c>
      <c r="AK11" s="15">
        <f t="shared" si="3"/>
        <v>28</v>
      </c>
    </row>
    <row r="12" spans="1:53" x14ac:dyDescent="0.25">
      <c r="A12" s="15" t="s">
        <v>24</v>
      </c>
      <c r="B12" s="15" t="s">
        <v>25</v>
      </c>
      <c r="C12" s="15" t="s">
        <v>10</v>
      </c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>
        <f t="shared" si="2"/>
        <v>0</v>
      </c>
      <c r="AK12" s="15">
        <f t="shared" si="3"/>
        <v>30</v>
      </c>
    </row>
    <row r="13" spans="1:53" x14ac:dyDescent="0.25">
      <c r="A13" s="15" t="s">
        <v>26</v>
      </c>
      <c r="B13" s="15" t="s">
        <v>27</v>
      </c>
      <c r="C13" s="15" t="s">
        <v>7</v>
      </c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>
        <f t="shared" si="2"/>
        <v>0</v>
      </c>
      <c r="AK13" s="15">
        <f t="shared" si="3"/>
        <v>30</v>
      </c>
    </row>
    <row r="14" spans="1:53" x14ac:dyDescent="0.25">
      <c r="A14" s="15" t="s">
        <v>28</v>
      </c>
      <c r="B14" s="15" t="s">
        <v>29</v>
      </c>
      <c r="C14" s="15" t="s">
        <v>13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 t="s">
        <v>81</v>
      </c>
      <c r="X14" s="15"/>
      <c r="Y14" s="15"/>
      <c r="Z14" s="15"/>
      <c r="AA14" s="15"/>
      <c r="AB14" s="15" t="s">
        <v>81</v>
      </c>
      <c r="AC14" s="15"/>
      <c r="AD14" s="15"/>
      <c r="AE14" s="15"/>
      <c r="AF14" s="15"/>
      <c r="AG14" s="15"/>
      <c r="AH14" s="15"/>
      <c r="AI14" s="15"/>
      <c r="AJ14" s="15">
        <f t="shared" si="2"/>
        <v>2</v>
      </c>
      <c r="AK14" s="15">
        <f t="shared" si="3"/>
        <v>28</v>
      </c>
    </row>
    <row r="15" spans="1:53" x14ac:dyDescent="0.25">
      <c r="A15" s="15" t="s">
        <v>30</v>
      </c>
      <c r="B15" s="15" t="s">
        <v>31</v>
      </c>
      <c r="C15" s="15" t="s">
        <v>18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>
        <f t="shared" si="2"/>
        <v>0</v>
      </c>
      <c r="AK15" s="15">
        <f t="shared" si="3"/>
        <v>30</v>
      </c>
    </row>
    <row r="16" spans="1:53" x14ac:dyDescent="0.25">
      <c r="A16" s="15" t="s">
        <v>32</v>
      </c>
      <c r="B16" s="15" t="s">
        <v>33</v>
      </c>
      <c r="C16" s="15" t="s">
        <v>18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 t="s">
        <v>88</v>
      </c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>
        <f t="shared" si="2"/>
        <v>0</v>
      </c>
      <c r="AK16" s="15">
        <f t="shared" si="3"/>
        <v>30</v>
      </c>
    </row>
    <row r="17" spans="1:37" x14ac:dyDescent="0.25">
      <c r="A17" s="15" t="s">
        <v>34</v>
      </c>
      <c r="B17" s="15" t="s">
        <v>35</v>
      </c>
      <c r="C17" s="15" t="s">
        <v>18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>
        <f t="shared" si="2"/>
        <v>0</v>
      </c>
      <c r="AK17" s="15">
        <f t="shared" si="3"/>
        <v>30</v>
      </c>
    </row>
    <row r="18" spans="1:37" x14ac:dyDescent="0.25">
      <c r="A18" s="15" t="s">
        <v>36</v>
      </c>
      <c r="B18" s="15" t="s">
        <v>37</v>
      </c>
      <c r="C18" s="15" t="s">
        <v>7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>
        <f t="shared" si="2"/>
        <v>0</v>
      </c>
      <c r="AK18" s="15">
        <f t="shared" si="3"/>
        <v>30</v>
      </c>
    </row>
    <row r="19" spans="1:37" x14ac:dyDescent="0.25">
      <c r="A19" s="15" t="s">
        <v>39</v>
      </c>
      <c r="B19" s="15" t="s">
        <v>40</v>
      </c>
      <c r="C19" s="15" t="s">
        <v>13</v>
      </c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>
        <f t="shared" si="2"/>
        <v>0</v>
      </c>
      <c r="AK19" s="15">
        <f t="shared" si="3"/>
        <v>30</v>
      </c>
    </row>
    <row r="20" spans="1:37" x14ac:dyDescent="0.25">
      <c r="A20" s="15" t="s">
        <v>41</v>
      </c>
      <c r="B20" s="15" t="s">
        <v>42</v>
      </c>
      <c r="C20" s="15" t="s">
        <v>10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>
        <f t="shared" si="2"/>
        <v>0</v>
      </c>
      <c r="AK20" s="15">
        <f t="shared" si="3"/>
        <v>30</v>
      </c>
    </row>
    <row r="21" spans="1:37" x14ac:dyDescent="0.25">
      <c r="A21" s="15" t="s">
        <v>43</v>
      </c>
      <c r="B21" s="15" t="s">
        <v>44</v>
      </c>
      <c r="C21" s="15" t="s">
        <v>21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>
        <f t="shared" si="2"/>
        <v>0</v>
      </c>
      <c r="AK21" s="15">
        <f t="shared" si="3"/>
        <v>30</v>
      </c>
    </row>
    <row r="22" spans="1:37" x14ac:dyDescent="0.25">
      <c r="A22" s="15" t="s">
        <v>45</v>
      </c>
      <c r="B22" s="15" t="s">
        <v>46</v>
      </c>
      <c r="C22" s="15" t="s">
        <v>18</v>
      </c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>
        <f t="shared" si="2"/>
        <v>0</v>
      </c>
      <c r="AK22" s="15">
        <f t="shared" si="3"/>
        <v>30</v>
      </c>
    </row>
    <row r="23" spans="1:37" x14ac:dyDescent="0.25">
      <c r="A23" s="15" t="s">
        <v>47</v>
      </c>
      <c r="B23" s="15" t="s">
        <v>48</v>
      </c>
      <c r="C23" s="15" t="s">
        <v>38</v>
      </c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>
        <f t="shared" si="2"/>
        <v>0</v>
      </c>
      <c r="AK23" s="15">
        <f t="shared" si="3"/>
        <v>30</v>
      </c>
    </row>
    <row r="24" spans="1:37" x14ac:dyDescent="0.25">
      <c r="A24" s="15" t="s">
        <v>50</v>
      </c>
      <c r="B24" s="15" t="s">
        <v>51</v>
      </c>
      <c r="C24" s="15" t="s">
        <v>18</v>
      </c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>
        <f t="shared" si="2"/>
        <v>0</v>
      </c>
      <c r="AK24" s="15">
        <f t="shared" si="3"/>
        <v>30</v>
      </c>
    </row>
    <row r="25" spans="1:37" x14ac:dyDescent="0.25">
      <c r="A25" s="15" t="s">
        <v>52</v>
      </c>
      <c r="B25" s="15" t="s">
        <v>53</v>
      </c>
      <c r="C25" s="15" t="s">
        <v>18</v>
      </c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>
        <f t="shared" si="2"/>
        <v>0</v>
      </c>
      <c r="AK25" s="15">
        <f t="shared" si="3"/>
        <v>30</v>
      </c>
    </row>
    <row r="26" spans="1:37" x14ac:dyDescent="0.25">
      <c r="A26" s="15" t="s">
        <v>54</v>
      </c>
      <c r="B26" s="15" t="s">
        <v>55</v>
      </c>
      <c r="C26" s="15" t="s">
        <v>49</v>
      </c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>
        <f t="shared" si="2"/>
        <v>0</v>
      </c>
      <c r="AK26" s="15">
        <f t="shared" si="3"/>
        <v>30</v>
      </c>
    </row>
    <row r="27" spans="1:37" x14ac:dyDescent="0.25">
      <c r="A27" s="15" t="s">
        <v>56</v>
      </c>
      <c r="B27" s="15" t="s">
        <v>57</v>
      </c>
      <c r="C27" s="15" t="s">
        <v>21</v>
      </c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>
        <f t="shared" si="2"/>
        <v>0</v>
      </c>
      <c r="AK27" s="15">
        <f t="shared" si="3"/>
        <v>30</v>
      </c>
    </row>
    <row r="28" spans="1:37" x14ac:dyDescent="0.25">
      <c r="A28" s="15" t="s">
        <v>58</v>
      </c>
      <c r="B28" s="15" t="s">
        <v>59</v>
      </c>
      <c r="C28" s="15" t="s">
        <v>49</v>
      </c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>
        <f t="shared" si="2"/>
        <v>0</v>
      </c>
      <c r="AK28" s="15">
        <f t="shared" si="3"/>
        <v>30</v>
      </c>
    </row>
    <row r="29" spans="1:37" x14ac:dyDescent="0.25">
      <c r="A29" s="15" t="s">
        <v>60</v>
      </c>
      <c r="B29" s="15" t="s">
        <v>61</v>
      </c>
      <c r="C29" s="15" t="s">
        <v>7</v>
      </c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>
        <f t="shared" si="2"/>
        <v>0</v>
      </c>
      <c r="AK29" s="15">
        <f t="shared" si="3"/>
        <v>30</v>
      </c>
    </row>
  </sheetData>
  <conditionalFormatting sqref="E4">
    <cfRule type="expression" dxfId="2" priority="2">
      <formula>E$4="sun"</formula>
    </cfRule>
    <cfRule type="expression" dxfId="1" priority="3">
      <formula>E$4="sun"</formula>
    </cfRule>
  </conditionalFormatting>
  <conditionalFormatting sqref="E5:AK29">
    <cfRule type="expression" dxfId="0" priority="1">
      <formula>E$4="sun"</formula>
    </cfRule>
  </conditionalFormatting>
  <dataValidations count="2">
    <dataValidation type="list" allowBlank="1" showInputMessage="1" showErrorMessage="1" sqref="B2" xr:uid="{3C5DC363-1179-482F-B051-45DD889D2E87}">
      <formula1>month</formula1>
    </dataValidation>
    <dataValidation type="custom" allowBlank="1" showInputMessage="1" showErrorMessage="1" sqref="E5:AK29" xr:uid="{1885196B-FEF8-4ED1-86C0-028636991B2D}">
      <formula1>E$4&lt;&gt;"sun"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1CCCC-00EC-4536-8A53-6F9DB81C5D1E}">
  <dimension ref="A1:A12"/>
  <sheetViews>
    <sheetView workbookViewId="0">
      <selection activeCell="E15" sqref="E15"/>
    </sheetView>
  </sheetViews>
  <sheetFormatPr defaultRowHeight="15" x14ac:dyDescent="0.25"/>
  <sheetData>
    <row r="1" spans="1:1" x14ac:dyDescent="0.25">
      <c r="A1" t="s">
        <v>62</v>
      </c>
    </row>
    <row r="2" spans="1:1" x14ac:dyDescent="0.25">
      <c r="A2" t="s">
        <v>63</v>
      </c>
    </row>
    <row r="3" spans="1:1" x14ac:dyDescent="0.25">
      <c r="A3" t="s">
        <v>64</v>
      </c>
    </row>
    <row r="4" spans="1:1" x14ac:dyDescent="0.25">
      <c r="A4" t="s">
        <v>65</v>
      </c>
    </row>
    <row r="5" spans="1:1" x14ac:dyDescent="0.25">
      <c r="A5" t="s">
        <v>66</v>
      </c>
    </row>
    <row r="6" spans="1:1" x14ac:dyDescent="0.25">
      <c r="A6" t="s">
        <v>67</v>
      </c>
    </row>
    <row r="7" spans="1:1" x14ac:dyDescent="0.25">
      <c r="A7" t="s">
        <v>68</v>
      </c>
    </row>
    <row r="8" spans="1:1" x14ac:dyDescent="0.25">
      <c r="A8" t="s">
        <v>69</v>
      </c>
    </row>
    <row r="9" spans="1:1" x14ac:dyDescent="0.25">
      <c r="A9" t="s">
        <v>70</v>
      </c>
    </row>
    <row r="10" spans="1:1" x14ac:dyDescent="0.25">
      <c r="A10" t="s">
        <v>71</v>
      </c>
    </row>
    <row r="11" spans="1:1" x14ac:dyDescent="0.25">
      <c r="A11" t="s">
        <v>72</v>
      </c>
    </row>
    <row r="12" spans="1:1" x14ac:dyDescent="0.25">
      <c r="A12" t="s">
        <v>73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Payroll Sheet</vt:lpstr>
      <vt:lpstr>attendance sheet</vt:lpstr>
      <vt:lpstr>Sheet2</vt:lpstr>
      <vt:lpstr>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Sanju Singh</cp:lastModifiedBy>
  <dcterms:created xsi:type="dcterms:W3CDTF">2026-05-18T08:07:08Z</dcterms:created>
  <dcterms:modified xsi:type="dcterms:W3CDTF">2026-05-18T11:15:40Z</dcterms:modified>
</cp:coreProperties>
</file>